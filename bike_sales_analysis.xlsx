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ionut\Desktop\"/>
    </mc:Choice>
  </mc:AlternateContent>
  <xr:revisionPtr revIDLastSave="0" documentId="13_ncr:1_{F4ABB43D-E580-4A4E-AD69-A598024116C2}" xr6:coauthVersionLast="47" xr6:coauthVersionMax="47" xr10:uidLastSave="{00000000-0000-0000-0000-000000000000}"/>
  <bookViews>
    <workbookView xWindow="-28920" yWindow="-120" windowWidth="29040" windowHeight="15720" activeTab="3" xr2:uid="{00000000-000D-0000-FFFF-FFFF00000000}"/>
  </bookViews>
  <sheets>
    <sheet name="bike_buyers" sheetId="1" r:id="rId1"/>
    <sheet name="working_sheet" sheetId="5" r:id="rId2"/>
    <sheet name="pivot_table" sheetId="3" r:id="rId3"/>
    <sheet name="dashboard" sheetId="2" r:id="rId4"/>
  </sheets>
  <definedNames>
    <definedName name="_xlnm._FilterDatabase" localSheetId="0" hidden="1">bike_buyers!$A$1:$M$1001</definedName>
    <definedName name="_xlnm._FilterDatabase" localSheetId="1" hidden="1">working_sheet!$A$1:$N$1</definedName>
    <definedName name="Slicer_Cars">#N/A</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<sst xmlns="http://schemas.openxmlformats.org/spreadsheetml/2006/main" count="16267" uniqueCount="51">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</sst>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0"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33" borderId="0" xfId="0" applyFill="1" applyAlignment="1">
      <alignment horizontal="center"/>
    </xf>
    <xf numFmtId="166" fontId="0" fillId="33" borderId="0" xfId="0" applyNumberFormat="1" applyFill="1" applyAlignment="1">
      <alignment horizontal="center"/>
    </xf>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34" borderId="0" xfId="0" applyFill="1" applyAlignment="1">
      <alignment horizont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solidFill>
              <a:schemeClr val="accent1"/>
            </a:solidFill>
            <a:ln>
              <a:noFill/>
            </a:ln>
            <a:effectLst/>
          </c:spPr>
          <c:invertIfNegative val="0"/>
          <c:cat>
            <c:strRef>
              <c:f>pivot_table!$B$5:$B$7</c:f>
              <c:strCache>
                <c:ptCount val="2"/>
                <c:pt idx="0">
                  <c:v>Female</c:v>
                </c:pt>
                <c:pt idx="1">
                  <c:v>Male</c:v>
                </c:pt>
              </c:strCache>
            </c:strRef>
          </c:cat>
          <c:val>
            <c:numRef>
              <c:f>pivot_table!$C$5:$C$7</c:f>
              <c:numCache>
                <c:formatCode>_(* #,##0_);_(* \(#,##0\);_(* "-"??_);_(@_)</c:formatCode>
                <c:ptCount val="2"/>
                <c:pt idx="0">
                  <c:v>53440</c:v>
                </c:pt>
                <c:pt idx="1">
                  <c:v>56208.178438661707</c:v>
                </c:pt>
              </c:numCache>
            </c:numRef>
          </c:val>
          <c:extLst>
            <c:ext xmlns:c16="http://schemas.microsoft.com/office/drawing/2014/chart" uri="{C3380CC4-5D6E-409C-BE32-E72D297353CC}">
              <c16:uniqueId val="{00000000-7AA0-4078-BDB6-E5703C1D955D}"/>
            </c:ext>
          </c:extLst>
        </c:ser>
        <c:ser>
          <c:idx val="1"/>
          <c:order val="1"/>
          <c:tx>
            <c:strRef>
              <c:f>pivot_table!$D$3:$D$4</c:f>
              <c:strCache>
                <c:ptCount val="1"/>
                <c:pt idx="0">
                  <c:v>Yes</c:v>
                </c:pt>
              </c:strCache>
            </c:strRef>
          </c:tx>
          <c:spPr>
            <a:solidFill>
              <a:schemeClr val="accent2"/>
            </a:solidFill>
            <a:ln>
              <a:noFill/>
            </a:ln>
            <a:effectLst/>
          </c:spPr>
          <c:invertIfNegative val="0"/>
          <c:cat>
            <c:strRef>
              <c:f>pivot_table!$B$5:$B$7</c:f>
              <c:strCache>
                <c:ptCount val="2"/>
                <c:pt idx="0">
                  <c:v>Female</c:v>
                </c:pt>
                <c:pt idx="1">
                  <c:v>Male</c:v>
                </c:pt>
              </c:strCache>
            </c:strRef>
          </c:cat>
          <c:val>
            <c:numRef>
              <c:f>pivot_table!$D$5:$D$7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AA0-4078-BDB6-E5703C1D955D}"/>
            </c:ext>
          </c:extLst>
        </c:ser>
        <c:dLbls>
          <c:showLegendKey val="0"/>
          <c:showVal val="0"/>
          <c:showCatName val="0"/>
          <c:showSerName val="0"/>
          <c:showPercent val="0"/>
          <c:showBubbleSize val="0"/>
        </c:dLbls>
        <c:gapWidth val="219"/>
        <c:overlap val="-27"/>
        <c:axId val="872156192"/>
        <c:axId val="872158592"/>
      </c:barChart>
      <c:catAx>
        <c:axId val="872156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58592"/>
        <c:crosses val="autoZero"/>
        <c:auto val="1"/>
        <c:lblAlgn val="ctr"/>
        <c:lblOffset val="100"/>
        <c:noMultiLvlLbl val="0"/>
      </c:catAx>
      <c:valAx>
        <c:axId val="87215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5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pivot_table!$C$24:$C$25</c:f>
              <c:strCache>
                <c:ptCount val="1"/>
                <c:pt idx="0">
                  <c:v>No</c:v>
                </c:pt>
              </c:strCache>
            </c:strRef>
          </c:tx>
          <c:spPr>
            <a:ln w="28575" cap="rnd">
              <a:solidFill>
                <a:schemeClr val="accent1"/>
              </a:solidFill>
              <a:round/>
            </a:ln>
            <a:effectLst/>
          </c:spPr>
          <c:marker>
            <c:symbol val="none"/>
          </c:marker>
          <c:cat>
            <c:strRef>
              <c:f>pivot_table!$B$26:$B$31</c:f>
              <c:strCache>
                <c:ptCount val="5"/>
                <c:pt idx="0">
                  <c:v>0-1 Miles</c:v>
                </c:pt>
                <c:pt idx="1">
                  <c:v>1-2 Miles</c:v>
                </c:pt>
                <c:pt idx="2">
                  <c:v>2-5 Miles</c:v>
                </c:pt>
                <c:pt idx="3">
                  <c:v>5-10 Miles</c:v>
                </c:pt>
                <c:pt idx="4">
                  <c:v>More than 10 Miles</c:v>
                </c:pt>
              </c:strCache>
            </c:strRef>
          </c:cat>
          <c:val>
            <c:numRef>
              <c:f>pivot_table!$C$26:$C$31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793-4F5D-AE8A-FF74C6BCA455}"/>
            </c:ext>
          </c:extLst>
        </c:ser>
        <c:ser>
          <c:idx val="1"/>
          <c:order val="1"/>
          <c:tx>
            <c:strRef>
              <c:f>pivot_table!$D$24:$D$25</c:f>
              <c:strCache>
                <c:ptCount val="1"/>
                <c:pt idx="0">
                  <c:v>Yes</c:v>
                </c:pt>
              </c:strCache>
            </c:strRef>
          </c:tx>
          <c:spPr>
            <a:ln w="28575" cap="rnd">
              <a:solidFill>
                <a:schemeClr val="accent2"/>
              </a:solidFill>
              <a:round/>
            </a:ln>
            <a:effectLst/>
          </c:spPr>
          <c:marker>
            <c:symbol val="none"/>
          </c:marker>
          <c:cat>
            <c:strRef>
              <c:f>pivot_table!$B$26:$B$31</c:f>
              <c:strCache>
                <c:ptCount val="5"/>
                <c:pt idx="0">
                  <c:v>0-1 Miles</c:v>
                </c:pt>
                <c:pt idx="1">
                  <c:v>1-2 Miles</c:v>
                </c:pt>
                <c:pt idx="2">
                  <c:v>2-5 Miles</c:v>
                </c:pt>
                <c:pt idx="3">
                  <c:v>5-10 Miles</c:v>
                </c:pt>
                <c:pt idx="4">
                  <c:v>More than 10 Miles</c:v>
                </c:pt>
              </c:strCache>
            </c:strRef>
          </c:cat>
          <c:val>
            <c:numRef>
              <c:f>pivot_table!$D$26:$D$31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793-4F5D-AE8A-FF74C6BCA455}"/>
            </c:ext>
          </c:extLst>
        </c:ser>
        <c:dLbls>
          <c:showLegendKey val="0"/>
          <c:showVal val="0"/>
          <c:showCatName val="0"/>
          <c:showSerName val="0"/>
          <c:showPercent val="0"/>
          <c:showBubbleSize val="0"/>
        </c:dLbls>
        <c:smooth val="0"/>
        <c:axId val="1210289984"/>
        <c:axId val="1210288544"/>
      </c:lineChart>
      <c:catAx>
        <c:axId val="121028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88544"/>
        <c:crosses val="autoZero"/>
        <c:auto val="1"/>
        <c:lblAlgn val="ctr"/>
        <c:lblOffset val="100"/>
        <c:noMultiLvlLbl val="0"/>
      </c:catAx>
      <c:valAx>
        <c:axId val="121028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8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pivot_table!$C$44:$C$45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pivot_table!$B$46:$B$49</c:f>
              <c:strCache>
                <c:ptCount val="3"/>
                <c:pt idx="0">
                  <c:v>Adolescent</c:v>
                </c:pt>
                <c:pt idx="1">
                  <c:v>Middle Age</c:v>
                </c:pt>
                <c:pt idx="2">
                  <c:v>Old</c:v>
                </c:pt>
              </c:strCache>
            </c:strRef>
          </c:cat>
          <c:val>
            <c:numRef>
              <c:f>pivot_table!$C$46:$C$49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73D-436B-8609-86949ED75E6E}"/>
            </c:ext>
          </c:extLst>
        </c:ser>
        <c:ser>
          <c:idx val="1"/>
          <c:order val="1"/>
          <c:tx>
            <c:strRef>
              <c:f>pivot_table!$D$44:$D$45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pivot_table!$B$46:$B$49</c:f>
              <c:strCache>
                <c:ptCount val="3"/>
                <c:pt idx="0">
                  <c:v>Adolescent</c:v>
                </c:pt>
                <c:pt idx="1">
                  <c:v>Middle Age</c:v>
                </c:pt>
                <c:pt idx="2">
                  <c:v>Old</c:v>
                </c:pt>
              </c:strCache>
            </c:strRef>
          </c:cat>
          <c:val>
            <c:numRef>
              <c:f>pivot_table!$D$46:$D$49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73D-436B-8609-86949ED75E6E}"/>
            </c:ext>
          </c:extLst>
        </c:ser>
        <c:dLbls>
          <c:dLblPos val="t"/>
          <c:showLegendKey val="0"/>
          <c:showVal val="0"/>
          <c:showCatName val="0"/>
          <c:showSerName val="0"/>
          <c:showPercent val="0"/>
          <c:showBubbleSize val="0"/>
        </c:dLbls>
        <c:marker val="1"/>
        <c:smooth val="0"/>
        <c:axId val="865575392"/>
        <c:axId val="1017263728"/>
      </c:lineChart>
      <c:catAx>
        <c:axId val="86557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263728"/>
        <c:crosses val="autoZero"/>
        <c:auto val="1"/>
        <c:lblAlgn val="ctr"/>
        <c:lblOffset val="100"/>
        <c:noMultiLvlLbl val="0"/>
      </c:catAx>
      <c:valAx>
        <c:axId val="101726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57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solidFill>
              <a:schemeClr val="accent1"/>
            </a:solidFill>
            <a:ln>
              <a:noFill/>
            </a:ln>
            <a:effectLst/>
          </c:spPr>
          <c:invertIfNegative val="0"/>
          <c:cat>
            <c:strRef>
              <c:f>pivot_table!$B$5:$B$7</c:f>
              <c:strCache>
                <c:ptCount val="2"/>
                <c:pt idx="0">
                  <c:v>Female</c:v>
                </c:pt>
                <c:pt idx="1">
                  <c:v>Male</c:v>
                </c:pt>
              </c:strCache>
            </c:strRef>
          </c:cat>
          <c:val>
            <c:numRef>
              <c:f>pivot_table!$C$5:$C$7</c:f>
              <c:numCache>
                <c:formatCode>_(* #,##0_);_(* \(#,##0\);_(* "-"??_);_(@_)</c:formatCode>
                <c:ptCount val="2"/>
                <c:pt idx="0">
                  <c:v>53440</c:v>
                </c:pt>
                <c:pt idx="1">
                  <c:v>56208.178438661707</c:v>
                </c:pt>
              </c:numCache>
            </c:numRef>
          </c:val>
          <c:extLst>
            <c:ext xmlns:c16="http://schemas.microsoft.com/office/drawing/2014/chart" uri="{C3380CC4-5D6E-409C-BE32-E72D297353CC}">
              <c16:uniqueId val="{00000000-4F6C-4887-9BB3-E19A48A59118}"/>
            </c:ext>
          </c:extLst>
        </c:ser>
        <c:ser>
          <c:idx val="1"/>
          <c:order val="1"/>
          <c:tx>
            <c:strRef>
              <c:f>pivot_table!$D$3:$D$4</c:f>
              <c:strCache>
                <c:ptCount val="1"/>
                <c:pt idx="0">
                  <c:v>Yes</c:v>
                </c:pt>
              </c:strCache>
            </c:strRef>
          </c:tx>
          <c:spPr>
            <a:solidFill>
              <a:schemeClr val="accent2"/>
            </a:solidFill>
            <a:ln>
              <a:noFill/>
            </a:ln>
            <a:effectLst/>
          </c:spPr>
          <c:invertIfNegative val="0"/>
          <c:cat>
            <c:strRef>
              <c:f>pivot_table!$B$5:$B$7</c:f>
              <c:strCache>
                <c:ptCount val="2"/>
                <c:pt idx="0">
                  <c:v>Female</c:v>
                </c:pt>
                <c:pt idx="1">
                  <c:v>Male</c:v>
                </c:pt>
              </c:strCache>
            </c:strRef>
          </c:cat>
          <c:val>
            <c:numRef>
              <c:f>pivot_table!$D$5:$D$7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F6C-4887-9BB3-E19A48A59118}"/>
            </c:ext>
          </c:extLst>
        </c:ser>
        <c:dLbls>
          <c:showLegendKey val="0"/>
          <c:showVal val="0"/>
          <c:showCatName val="0"/>
          <c:showSerName val="0"/>
          <c:showPercent val="0"/>
          <c:showBubbleSize val="0"/>
        </c:dLbls>
        <c:gapWidth val="219"/>
        <c:overlap val="-27"/>
        <c:axId val="872156192"/>
        <c:axId val="872158592"/>
      </c:barChart>
      <c:catAx>
        <c:axId val="872156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58592"/>
        <c:crosses val="autoZero"/>
        <c:auto val="1"/>
        <c:lblAlgn val="ctr"/>
        <c:lblOffset val="100"/>
        <c:noMultiLvlLbl val="0"/>
      </c:catAx>
      <c:valAx>
        <c:axId val="87215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5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pivot_table!$C$24:$C$25</c:f>
              <c:strCache>
                <c:ptCount val="1"/>
                <c:pt idx="0">
                  <c:v>No</c:v>
                </c:pt>
              </c:strCache>
            </c:strRef>
          </c:tx>
          <c:spPr>
            <a:ln w="28575" cap="rnd">
              <a:solidFill>
                <a:schemeClr val="accent1"/>
              </a:solidFill>
              <a:round/>
            </a:ln>
            <a:effectLst/>
          </c:spPr>
          <c:marker>
            <c:symbol val="none"/>
          </c:marker>
          <c:cat>
            <c:strRef>
              <c:f>pivot_table!$B$26:$B$31</c:f>
              <c:strCache>
                <c:ptCount val="5"/>
                <c:pt idx="0">
                  <c:v>0-1 Miles</c:v>
                </c:pt>
                <c:pt idx="1">
                  <c:v>1-2 Miles</c:v>
                </c:pt>
                <c:pt idx="2">
                  <c:v>2-5 Miles</c:v>
                </c:pt>
                <c:pt idx="3">
                  <c:v>5-10 Miles</c:v>
                </c:pt>
                <c:pt idx="4">
                  <c:v>More than 10 Miles</c:v>
                </c:pt>
              </c:strCache>
            </c:strRef>
          </c:cat>
          <c:val>
            <c:numRef>
              <c:f>pivot_table!$C$26:$C$31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785-4D6E-8296-D024C0B89CA9}"/>
            </c:ext>
          </c:extLst>
        </c:ser>
        <c:ser>
          <c:idx val="1"/>
          <c:order val="1"/>
          <c:tx>
            <c:strRef>
              <c:f>pivot_table!$D$24:$D$25</c:f>
              <c:strCache>
                <c:ptCount val="1"/>
                <c:pt idx="0">
                  <c:v>Yes</c:v>
                </c:pt>
              </c:strCache>
            </c:strRef>
          </c:tx>
          <c:spPr>
            <a:ln w="28575" cap="rnd">
              <a:solidFill>
                <a:schemeClr val="accent2"/>
              </a:solidFill>
              <a:round/>
            </a:ln>
            <a:effectLst/>
          </c:spPr>
          <c:marker>
            <c:symbol val="none"/>
          </c:marker>
          <c:cat>
            <c:strRef>
              <c:f>pivot_table!$B$26:$B$31</c:f>
              <c:strCache>
                <c:ptCount val="5"/>
                <c:pt idx="0">
                  <c:v>0-1 Miles</c:v>
                </c:pt>
                <c:pt idx="1">
                  <c:v>1-2 Miles</c:v>
                </c:pt>
                <c:pt idx="2">
                  <c:v>2-5 Miles</c:v>
                </c:pt>
                <c:pt idx="3">
                  <c:v>5-10 Miles</c:v>
                </c:pt>
                <c:pt idx="4">
                  <c:v>More than 10 Miles</c:v>
                </c:pt>
              </c:strCache>
            </c:strRef>
          </c:cat>
          <c:val>
            <c:numRef>
              <c:f>pivot_table!$D$26:$D$31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785-4D6E-8296-D024C0B89CA9}"/>
            </c:ext>
          </c:extLst>
        </c:ser>
        <c:dLbls>
          <c:showLegendKey val="0"/>
          <c:showVal val="0"/>
          <c:showCatName val="0"/>
          <c:showSerName val="0"/>
          <c:showPercent val="0"/>
          <c:showBubbleSize val="0"/>
        </c:dLbls>
        <c:smooth val="0"/>
        <c:axId val="1210289984"/>
        <c:axId val="1210288544"/>
      </c:lineChart>
      <c:catAx>
        <c:axId val="121028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88544"/>
        <c:crosses val="autoZero"/>
        <c:auto val="1"/>
        <c:lblAlgn val="ctr"/>
        <c:lblOffset val="100"/>
        <c:noMultiLvlLbl val="0"/>
      </c:catAx>
      <c:valAx>
        <c:axId val="121028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8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pivot_table!$C$44:$C$45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pivot_table!$B$46:$B$49</c:f>
              <c:strCache>
                <c:ptCount val="3"/>
                <c:pt idx="0">
                  <c:v>Adolescent</c:v>
                </c:pt>
                <c:pt idx="1">
                  <c:v>Middle Age</c:v>
                </c:pt>
                <c:pt idx="2">
                  <c:v>Old</c:v>
                </c:pt>
              </c:strCache>
            </c:strRef>
          </c:cat>
          <c:val>
            <c:numRef>
              <c:f>pivot_table!$C$46:$C$49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FFB-4EAD-89AF-A47008C583FD}"/>
            </c:ext>
          </c:extLst>
        </c:ser>
        <c:ser>
          <c:idx val="1"/>
          <c:order val="1"/>
          <c:tx>
            <c:strRef>
              <c:f>pivot_table!$D$44:$D$45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pivot_table!$B$46:$B$49</c:f>
              <c:strCache>
                <c:ptCount val="3"/>
                <c:pt idx="0">
                  <c:v>Adolescent</c:v>
                </c:pt>
                <c:pt idx="1">
                  <c:v>Middle Age</c:v>
                </c:pt>
                <c:pt idx="2">
                  <c:v>Old</c:v>
                </c:pt>
              </c:strCache>
            </c:strRef>
          </c:cat>
          <c:val>
            <c:numRef>
              <c:f>pivot_table!$D$46:$D$49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FFB-4EAD-89AF-A47008C583FD}"/>
            </c:ext>
          </c:extLst>
        </c:ser>
        <c:dLbls>
          <c:showLegendKey val="0"/>
          <c:showVal val="0"/>
          <c:showCatName val="0"/>
          <c:showSerName val="0"/>
          <c:showPercent val="0"/>
          <c:showBubbleSize val="0"/>
        </c:dLbls>
        <c:marker val="1"/>
        <c:smooth val="0"/>
        <c:axId val="865575392"/>
        <c:axId val="1017263728"/>
      </c:lineChart>
      <c:catAx>
        <c:axId val="86557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263728"/>
        <c:crosses val="autoZero"/>
        <c:auto val="1"/>
        <c:lblAlgn val="ctr"/>
        <c:lblOffset val="100"/>
        <c:noMultiLvlLbl val="0"/>
      </c:catAx>
      <c:valAx>
        <c:axId val="101726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57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161925</xdr:rowOff>
    </xdr:from>
    <xdr:to>
      <xdr:col>16</xdr:col>
      <xdr:colOff>0</xdr:colOff>
      <xdr:row>18</xdr:row>
      <xdr:rowOff>142875</xdr:rowOff>
    </xdr:to>
    <xdr:graphicFrame macro="">
      <xdr:nvGraphicFramePr>
        <xdr:cNvPr id="2" name="Chart 1">
          <a:extLst>
            <a:ext uri="{FF2B5EF4-FFF2-40B4-BE49-F238E27FC236}">
              <a16:creationId xmlns:a16="http://schemas.microsoft.com/office/drawing/2014/main" id="{49EB948C-07F2-B78D-F6BA-14799930F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590549</xdr:colOff>
      <xdr:row>22</xdr:row>
      <xdr:rowOff>185736</xdr:rowOff>
    </xdr:from>
    <xdr:to>
      <xdr:col>15</xdr:col>
      <xdr:colOff>600075</xdr:colOff>
      <xdr:row>40</xdr:row>
      <xdr:rowOff>38099</xdr:rowOff>
    </xdr:to>
    <xdr:graphicFrame macro="">
      <xdr:nvGraphicFramePr>
        <xdr:cNvPr id="3" name="Chart 2">
          <a:extLst>
            <a:ext uri="{FF2B5EF4-FFF2-40B4-BE49-F238E27FC236}">
              <a16:creationId xmlns:a16="http://schemas.microsoft.com/office/drawing/2014/main" id="{47118A05-D9B7-3BEE-0B7D-C0BE5ED51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600075</xdr:colOff>
      <xdr:row>43</xdr:row>
      <xdr:rowOff>4761</xdr:rowOff>
    </xdr:from>
    <xdr:to>
      <xdr:col>15</xdr:col>
      <xdr:colOff>581025</xdr:colOff>
      <xdr:row>59</xdr:row>
      <xdr:rowOff>9524</xdr:rowOff>
    </xdr:to>
    <xdr:graphicFrame macro="">
      <xdr:nvGraphicFramePr>
        <xdr:cNvPr id="4" name="Chart 3">
          <a:extLst>
            <a:ext uri="{FF2B5EF4-FFF2-40B4-BE49-F238E27FC236}">
              <a16:creationId xmlns:a16="http://schemas.microsoft.com/office/drawing/2014/main" id="{EA96489A-DF47-000D-45EB-975CEC7AF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323851</xdr:colOff>
      <xdr:row>7</xdr:row>
      <xdr:rowOff>9525</xdr:rowOff>
    </xdr:from>
    <xdr:to>
      <xdr:col>12</xdr:col>
      <xdr:colOff>209551</xdr:colOff>
      <xdr:row>22</xdr:row>
      <xdr:rowOff>38101</xdr:rowOff>
    </xdr:to>
    <xdr:graphicFrame macro="">
      <xdr:nvGraphicFramePr>
        <xdr:cNvPr id="2" name="Chart 1">
          <a:extLst>
            <a:ext uri="{FF2B5EF4-FFF2-40B4-BE49-F238E27FC236}">
              <a16:creationId xmlns:a16="http://schemas.microsoft.com/office/drawing/2014/main" id="{8BA64C97-C9D4-4383-8A0E-AF87999D8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314324</xdr:colOff>
      <xdr:row>22</xdr:row>
      <xdr:rowOff>47625</xdr:rowOff>
    </xdr:from>
    <xdr:to>
      <xdr:col>20</xdr:col>
      <xdr:colOff>0</xdr:colOff>
      <xdr:row>37</xdr:row>
      <xdr:rowOff>38100</xdr:rowOff>
    </xdr:to>
    <xdr:graphicFrame macro="">
      <xdr:nvGraphicFramePr>
        <xdr:cNvPr id="3" name="Chart 2">
          <a:extLst>
            <a:ext uri="{FF2B5EF4-FFF2-40B4-BE49-F238E27FC236}">
              <a16:creationId xmlns:a16="http://schemas.microsoft.com/office/drawing/2014/main" id="{6AA3E870-B5D4-4954-B7CA-8A85A6325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200025</xdr:colOff>
      <xdr:row>7</xdr:row>
      <xdr:rowOff>9526</xdr:rowOff>
    </xdr:from>
    <xdr:to>
      <xdr:col>19</xdr:col>
      <xdr:colOff>600075</xdr:colOff>
      <xdr:row>22</xdr:row>
      <xdr:rowOff>47626</xdr:rowOff>
    </xdr:to>
    <xdr:graphicFrame macro="">
      <xdr:nvGraphicFramePr>
        <xdr:cNvPr id="4" name="Chart 3">
          <a:extLst>
            <a:ext uri="{FF2B5EF4-FFF2-40B4-BE49-F238E27FC236}">
              <a16:creationId xmlns:a16="http://schemas.microsoft.com/office/drawing/2014/main" id="{2A3E913E-C665-4E70-989D-9E4BD971B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28574</xdr:colOff>
      <xdr:row>7</xdr:row>
      <xdr:rowOff>9525</xdr:rowOff>
    </xdr:from>
    <xdr:to>
      <xdr:col>4</xdr:col>
      <xdr:colOff>342899</xdr:colOff>
      <xdr:row>12</xdr:row>
      <xdr:rowOff>28575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126F7B2-9504-A5BC-CA1D-A3A8E98A776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38174" y="1352550"/>
              <a:ext cx="2143125"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19</xdr:row>
      <xdr:rowOff>38100</xdr:rowOff>
    </xdr:from>
    <xdr:to>
      <xdr:col>4</xdr:col>
      <xdr:colOff>314325</xdr:colOff>
      <xdr:row>28</xdr:row>
      <xdr:rowOff>104775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A295E3B-D8E6-D2B9-AB9D-82AD6EA72E9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19125" y="3667125"/>
              <a:ext cx="21336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12</xdr:row>
      <xdr:rowOff>19051</xdr:rowOff>
    </xdr:from>
    <xdr:to>
      <xdr:col>4</xdr:col>
      <xdr:colOff>333375</xdr:colOff>
      <xdr:row>19</xdr:row>
      <xdr:rowOff>47625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7311506-99E2-8177-8B97-B8073BBC97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9125" y="2314576"/>
              <a:ext cx="2152650" cy="1362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28574</xdr:colOff>
      <xdr:row>28</xdr:row>
      <xdr:rowOff>104776</xdr:rowOff>
    </xdr:from>
    <xdr:to>
      <xdr:col>4</xdr:col>
      <xdr:colOff>304799</xdr:colOff>
      <xdr:row>37</xdr:row>
      <xdr:rowOff>95250</xdr:rowOff>
    </xdr:to>
    <mc:AlternateContent xmlns:mc="http://schemas.openxmlformats.org/markup-compatibility/2006">
      <mc:Choice xmlns:a14="http://schemas.microsoft.com/office/drawing/2010/main" Requires="a14">
        <xdr:graphicFrame macro="">
          <xdr:nvGraphicFramePr>
            <xdr:cNvPr id="9" name="Cars">
              <a:extLst>
                <a:ext uri="{FF2B5EF4-FFF2-40B4-BE49-F238E27FC236}">
                  <a16:creationId xmlns:a16="http://schemas.microsoft.com/office/drawing/2014/main" id="{04778984-F0EE-BE19-06D3-93CB2F49FAEF}"/>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638174" y="5448301"/>
              <a:ext cx="2105025" cy="1704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udiu Ionut" refreshedDate="46061.604316550925" createdVersion="8" refreshedVersion="8" minRefreshableVersion="3" recordCount="1000" xr:uid="{EA116CB9-92EF-4612-89E1-77ABC1BBEA00}">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47848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E5D8B4-E495-4523-ADC4-3B7039052E44}"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4:E4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F1E6FA-3940-4C17-AAE3-9FB5D1D89CB0}"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4:E3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DCF5B0-728A-4BB0-A8D7-77AEBA195894}"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items count="8">
        <item x="0"/>
        <item m="1" x="5"/>
        <item m="1" x="6"/>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2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2877E6E-8F69-4219-94E0-3C31968FDD1C}" sourceName="Marital Status">
  <pivotTables>
    <pivotTable tabId="3" name="PivotTable1"/>
    <pivotTable tabId="3" name="PivotTable2"/>
    <pivotTable tabId="3" name="PivotTable3"/>
  </pivotTables>
  <data>
    <tabular pivotCacheId="14478481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2714C36-C4BC-41A4-B03D-E63C023F99DB}" sourceName="Education">
  <pivotTables>
    <pivotTable tabId="3" name="PivotTable1"/>
    <pivotTable tabId="3" name="PivotTable2"/>
    <pivotTable tabId="3" name="PivotTable3"/>
  </pivotTables>
  <data>
    <tabular pivotCacheId="144784818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CC3BFD-2D16-4B93-93A6-E89620BBDCFE}" sourceName="Region">
  <pivotTables>
    <pivotTable tabId="3" name="PivotTable1"/>
    <pivotTable tabId="3" name="PivotTable2"/>
    <pivotTable tabId="3" name="PivotTable3"/>
  </pivotTables>
  <data>
    <tabular pivotCacheId="144784818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7817E73E-3656-4327-9C23-F116FC125AD4}" sourceName="Cars">
  <pivotTables>
    <pivotTable tabId="3" name="PivotTable1"/>
    <pivotTable tabId="3" name="PivotTable2"/>
    <pivotTable tabId="3" name="PivotTable3"/>
  </pivotTables>
  <data>
    <tabular pivotCacheId="1447848182">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3AF9946-7BC6-4264-A331-B63FC484F0C2}" cache="Slicer_Marital_Status" caption="Marital Status" rowHeight="241300"/>
  <slicer name="Education" xr10:uid="{E80C3F6F-B754-446A-B471-40AE49464053}" cache="Slicer_Education" caption="Education" rowHeight="241300"/>
  <slicer name="Region" xr10:uid="{A8F7F11E-63DA-4A26-A80D-ED740BF4A7A7}" cache="Slicer_Region" caption="Region" rowHeight="241300"/>
  <slicer name="Cars" xr10:uid="{9C5B0AA4-BE69-4771-8B9E-2DB095BF8C9F}" cache="Slicer_Cars" caption="Car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5546875" defaultRowHeight="15" x14ac:dyDescent="0.25"/>
  <cols>
    <col min="2" max="2" width="14.140625" customWidth="1"/>
    <col min="6" max="6" width="20" customWidth="1"/>
    <col min="7" max="7" width="17.7109375" customWidth="1"/>
    <col min="10" max="10" width="18.855468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7859E-524F-4AF7-A5EC-4D43D77F39C8}">
  <dimension ref="A1:N1001"/>
  <sheetViews>
    <sheetView topLeftCell="B970" zoomScale="115" zoomScaleNormal="115" workbookViewId="0">
      <selection activeCell="J1" sqref="J1:J1048576"/>
    </sheetView>
  </sheetViews>
  <sheetFormatPr defaultColWidth="11.85546875" defaultRowHeight="15" x14ac:dyDescent="0.25"/>
  <cols>
    <col min="2" max="2" width="14.140625" customWidth="1"/>
    <col min="4" max="4" width="11.85546875" style="5"/>
    <col min="6" max="6" width="20" customWidth="1"/>
    <col min="7" max="7" width="17.7109375" customWidth="1"/>
    <col min="10" max="10" width="18.85546875" customWidth="1"/>
    <col min="14" max="14" width="15.42578125" customWidth="1"/>
  </cols>
  <sheetData>
    <row r="1" spans="1:14" x14ac:dyDescent="0.25">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25">
      <c r="A2">
        <v>12496</v>
      </c>
      <c r="B2" t="s">
        <v>36</v>
      </c>
      <c r="C2" t="s">
        <v>39</v>
      </c>
      <c r="D2" s="5">
        <v>40000</v>
      </c>
      <c r="E2">
        <v>1</v>
      </c>
      <c r="F2" t="s">
        <v>13</v>
      </c>
      <c r="G2" t="s">
        <v>14</v>
      </c>
      <c r="H2" t="s">
        <v>15</v>
      </c>
      <c r="I2">
        <v>0</v>
      </c>
      <c r="J2" t="s">
        <v>16</v>
      </c>
      <c r="K2" t="s">
        <v>17</v>
      </c>
      <c r="L2">
        <v>42</v>
      </c>
      <c r="M2" t="str">
        <f>IF(L2&gt;54, "Old", IF(L2&gt;=31,"Middle Age", IF(L2&lt;31,"Adolescent", "Invalid")))</f>
        <v>Middle Age</v>
      </c>
      <c r="N2" t="s">
        <v>18</v>
      </c>
    </row>
    <row r="3" spans="1:14" x14ac:dyDescent="0.25">
      <c r="A3">
        <v>24107</v>
      </c>
      <c r="B3" t="s">
        <v>36</v>
      </c>
      <c r="C3" t="s">
        <v>38</v>
      </c>
      <c r="D3" s="5">
        <v>30000</v>
      </c>
      <c r="E3">
        <v>3</v>
      </c>
      <c r="F3" t="s">
        <v>19</v>
      </c>
      <c r="G3" t="s">
        <v>20</v>
      </c>
      <c r="H3" t="s">
        <v>15</v>
      </c>
      <c r="I3">
        <v>1</v>
      </c>
      <c r="J3" t="s">
        <v>16</v>
      </c>
      <c r="K3" t="s">
        <v>17</v>
      </c>
      <c r="L3">
        <v>43</v>
      </c>
      <c r="M3" t="str">
        <f t="shared" ref="M3:M66" si="0">IF(L3&gt;54, "Old", IF(L3&gt;=31,"Middle Age", IF(L3&lt;31,"Adolescent", "Invalid")))</f>
        <v>Middle Age</v>
      </c>
      <c r="N3" t="s">
        <v>18</v>
      </c>
    </row>
    <row r="4" spans="1:14" x14ac:dyDescent="0.25">
      <c r="A4">
        <v>14177</v>
      </c>
      <c r="B4" t="s">
        <v>36</v>
      </c>
      <c r="C4" t="s">
        <v>38</v>
      </c>
      <c r="D4" s="5">
        <v>80000</v>
      </c>
      <c r="E4">
        <v>5</v>
      </c>
      <c r="F4" t="s">
        <v>19</v>
      </c>
      <c r="G4" t="s">
        <v>21</v>
      </c>
      <c r="H4" t="s">
        <v>18</v>
      </c>
      <c r="I4">
        <v>2</v>
      </c>
      <c r="J4" t="s">
        <v>22</v>
      </c>
      <c r="K4" t="s">
        <v>17</v>
      </c>
      <c r="L4">
        <v>60</v>
      </c>
      <c r="M4" t="str">
        <f t="shared" si="0"/>
        <v>Old</v>
      </c>
      <c r="N4" t="s">
        <v>18</v>
      </c>
    </row>
    <row r="5" spans="1:14" x14ac:dyDescent="0.25">
      <c r="A5">
        <v>24381</v>
      </c>
      <c r="B5" t="s">
        <v>37</v>
      </c>
      <c r="C5" t="s">
        <v>38</v>
      </c>
      <c r="D5" s="5">
        <v>70000</v>
      </c>
      <c r="E5">
        <v>0</v>
      </c>
      <c r="F5" t="s">
        <v>13</v>
      </c>
      <c r="G5" t="s">
        <v>21</v>
      </c>
      <c r="H5" t="s">
        <v>15</v>
      </c>
      <c r="I5">
        <v>1</v>
      </c>
      <c r="J5" t="s">
        <v>23</v>
      </c>
      <c r="K5" t="s">
        <v>24</v>
      </c>
      <c r="L5">
        <v>41</v>
      </c>
      <c r="M5" t="str">
        <f t="shared" si="0"/>
        <v>Middle Age</v>
      </c>
      <c r="N5" t="s">
        <v>15</v>
      </c>
    </row>
    <row r="6" spans="1:14" x14ac:dyDescent="0.25">
      <c r="A6">
        <v>25597</v>
      </c>
      <c r="B6" t="s">
        <v>37</v>
      </c>
      <c r="C6" t="s">
        <v>38</v>
      </c>
      <c r="D6" s="5">
        <v>30000</v>
      </c>
      <c r="E6">
        <v>0</v>
      </c>
      <c r="F6" t="s">
        <v>13</v>
      </c>
      <c r="G6" t="s">
        <v>20</v>
      </c>
      <c r="H6" t="s">
        <v>18</v>
      </c>
      <c r="I6">
        <v>0</v>
      </c>
      <c r="J6" t="s">
        <v>16</v>
      </c>
      <c r="K6" t="s">
        <v>17</v>
      </c>
      <c r="L6">
        <v>36</v>
      </c>
      <c r="M6" t="str">
        <f t="shared" si="0"/>
        <v>Middle Age</v>
      </c>
      <c r="N6" t="s">
        <v>15</v>
      </c>
    </row>
    <row r="7" spans="1:14" x14ac:dyDescent="0.25">
      <c r="A7">
        <v>13507</v>
      </c>
      <c r="B7" t="s">
        <v>36</v>
      </c>
      <c r="C7" t="s">
        <v>39</v>
      </c>
      <c r="D7" s="5">
        <v>10000</v>
      </c>
      <c r="E7">
        <v>2</v>
      </c>
      <c r="F7" t="s">
        <v>19</v>
      </c>
      <c r="G7" t="s">
        <v>25</v>
      </c>
      <c r="H7" t="s">
        <v>15</v>
      </c>
      <c r="I7">
        <v>0</v>
      </c>
      <c r="J7" t="s">
        <v>26</v>
      </c>
      <c r="K7" t="s">
        <v>17</v>
      </c>
      <c r="L7">
        <v>50</v>
      </c>
      <c r="M7" t="str">
        <f t="shared" si="0"/>
        <v>Middle Age</v>
      </c>
      <c r="N7" t="s">
        <v>18</v>
      </c>
    </row>
    <row r="8" spans="1:14" x14ac:dyDescent="0.25">
      <c r="A8">
        <v>27974</v>
      </c>
      <c r="B8" t="s">
        <v>37</v>
      </c>
      <c r="C8" t="s">
        <v>38</v>
      </c>
      <c r="D8" s="5">
        <v>160000</v>
      </c>
      <c r="E8">
        <v>2</v>
      </c>
      <c r="F8" t="s">
        <v>27</v>
      </c>
      <c r="G8" t="s">
        <v>28</v>
      </c>
      <c r="H8" t="s">
        <v>15</v>
      </c>
      <c r="I8">
        <v>4</v>
      </c>
      <c r="J8" t="s">
        <v>16</v>
      </c>
      <c r="K8" t="s">
        <v>24</v>
      </c>
      <c r="L8">
        <v>33</v>
      </c>
      <c r="M8" t="str">
        <f t="shared" si="0"/>
        <v>Middle Age</v>
      </c>
      <c r="N8" t="s">
        <v>15</v>
      </c>
    </row>
    <row r="9" spans="1:14" x14ac:dyDescent="0.25">
      <c r="A9">
        <v>19364</v>
      </c>
      <c r="B9" t="s">
        <v>36</v>
      </c>
      <c r="C9" t="s">
        <v>38</v>
      </c>
      <c r="D9" s="5">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5">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5">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5">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5">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5">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5">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5">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5">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5">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5">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5">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5">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5">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5">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5">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5">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5">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5">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5">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5">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5">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5">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5">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5">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5">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5">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5">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5">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5">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5">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5">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5">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5">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5">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5">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5">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5">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5">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5">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5">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5">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5">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5">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5">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5">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5">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5">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5">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5">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5">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5">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5">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5">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5">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5">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5">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5">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5">
        <v>30000</v>
      </c>
      <c r="E67">
        <v>2</v>
      </c>
      <c r="F67" t="s">
        <v>19</v>
      </c>
      <c r="G67" t="s">
        <v>20</v>
      </c>
      <c r="H67" t="s">
        <v>15</v>
      </c>
      <c r="I67">
        <v>2</v>
      </c>
      <c r="J67" t="s">
        <v>23</v>
      </c>
      <c r="K67" t="s">
        <v>24</v>
      </c>
      <c r="L67">
        <v>68</v>
      </c>
      <c r="M67" t="str">
        <f t="shared" ref="M67:M130" si="1">IF(L67&gt;54, "Old", IF(L67&gt;=31,"Middle Age", IF(L67&lt;31,"Adolescent", "Invalid")))</f>
        <v>Old</v>
      </c>
      <c r="N67" t="s">
        <v>18</v>
      </c>
    </row>
    <row r="68" spans="1:14" x14ac:dyDescent="0.25">
      <c r="A68">
        <v>29355</v>
      </c>
      <c r="B68" t="s">
        <v>36</v>
      </c>
      <c r="C68" t="s">
        <v>39</v>
      </c>
      <c r="D68" s="5">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5">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5">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5">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5">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5">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5">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5">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5">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5">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5">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5">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5">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5">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5">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5">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5">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5">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5">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5">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5">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5">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5">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5">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5">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5">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5">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5">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5">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5">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5">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5">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5">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5">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5">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5">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5">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5">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5">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5">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5">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5">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5">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5">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5">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5">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5">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5">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5">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5">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5">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5">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5">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5">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5">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5">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5">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5">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5">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5">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5">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5">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5">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5">
        <v>10000</v>
      </c>
      <c r="E131">
        <v>3</v>
      </c>
      <c r="F131" t="s">
        <v>27</v>
      </c>
      <c r="G131" t="s">
        <v>25</v>
      </c>
      <c r="H131" t="s">
        <v>15</v>
      </c>
      <c r="I131">
        <v>1</v>
      </c>
      <c r="J131" t="s">
        <v>16</v>
      </c>
      <c r="K131" t="s">
        <v>17</v>
      </c>
      <c r="L131">
        <v>39</v>
      </c>
      <c r="M131" t="str">
        <f t="shared" ref="M131:M194" si="2">IF(L131&gt;54, "Old", IF(L131&gt;=31,"Middle Age", IF(L131&lt;31,"Adolescent", "Invalid")))</f>
        <v>Middle Age</v>
      </c>
      <c r="N131" t="s">
        <v>15</v>
      </c>
    </row>
    <row r="132" spans="1:14" x14ac:dyDescent="0.25">
      <c r="A132">
        <v>12993</v>
      </c>
      <c r="B132" t="s">
        <v>36</v>
      </c>
      <c r="C132" t="s">
        <v>38</v>
      </c>
      <c r="D132" s="5">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5">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5">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5">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5">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5">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5">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5">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5">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5">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5">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5">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5">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5">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5">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5">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5">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5">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5">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5">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5">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5">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5">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5">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5">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5">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5">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5">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5">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5">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5">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5">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5">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5">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5">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5">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5">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5">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5">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5">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5">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5">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5">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5">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5">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5">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5">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5">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5">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5">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5">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5">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5">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5">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5">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5">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5">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5">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5">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5">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5">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5">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5">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5">
        <v>70000</v>
      </c>
      <c r="E195">
        <v>5</v>
      </c>
      <c r="F195" t="s">
        <v>13</v>
      </c>
      <c r="G195" t="s">
        <v>21</v>
      </c>
      <c r="H195" t="s">
        <v>15</v>
      </c>
      <c r="I195">
        <v>4</v>
      </c>
      <c r="J195" t="s">
        <v>46</v>
      </c>
      <c r="K195" t="s">
        <v>24</v>
      </c>
      <c r="L195">
        <v>41</v>
      </c>
      <c r="M195" t="str">
        <f t="shared" ref="M195:M258" si="3">IF(L195&gt;54, "Old", IF(L195&gt;=31,"Middle Age", IF(L195&lt;31,"Adolescent", "Invalid")))</f>
        <v>Middle Age</v>
      </c>
      <c r="N195" t="s">
        <v>18</v>
      </c>
    </row>
    <row r="196" spans="1:14" x14ac:dyDescent="0.25">
      <c r="A196">
        <v>17843</v>
      </c>
      <c r="B196" t="s">
        <v>37</v>
      </c>
      <c r="C196" t="s">
        <v>39</v>
      </c>
      <c r="D196" s="5">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5">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5">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5">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5">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5">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5">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5">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5">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5">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5">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5">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5">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5">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5">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5">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5">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5">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5">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5">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5">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5">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5">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5">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5">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5">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5">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5">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5">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5">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5">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5">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5">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5">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5">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5">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5">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5">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5">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5">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5">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5">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5">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5">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5">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5">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5">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5">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5">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5">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5">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5">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5">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5">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5">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5">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5">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5">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5">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5">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5">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5">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5">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5">
        <v>50000</v>
      </c>
      <c r="E259">
        <v>0</v>
      </c>
      <c r="F259" t="s">
        <v>31</v>
      </c>
      <c r="G259" t="s">
        <v>14</v>
      </c>
      <c r="H259" t="s">
        <v>15</v>
      </c>
      <c r="I259">
        <v>0</v>
      </c>
      <c r="J259" t="s">
        <v>16</v>
      </c>
      <c r="K259" t="s">
        <v>17</v>
      </c>
      <c r="L259">
        <v>36</v>
      </c>
      <c r="M259" t="str">
        <f t="shared" ref="M259:M322" si="4">IF(L259&gt;54, "Old", IF(L259&gt;=31,"Middle Age", IF(L259&lt;31,"Adolescent", "Invalid")))</f>
        <v>Middle Age</v>
      </c>
      <c r="N259" t="s">
        <v>15</v>
      </c>
    </row>
    <row r="260" spans="1:14" x14ac:dyDescent="0.25">
      <c r="A260">
        <v>14193</v>
      </c>
      <c r="B260" t="s">
        <v>37</v>
      </c>
      <c r="C260" t="s">
        <v>39</v>
      </c>
      <c r="D260" s="5">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5">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5">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5">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5">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5">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5">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5">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5">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5">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5">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5">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5">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5">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5">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5">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5">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5">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5">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5">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5">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5">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5">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5">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5">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5">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5">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5">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5">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5">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5">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5">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5">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5">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5">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5">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5">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5">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5">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5">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5">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5">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5">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5">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5">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5">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5">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5">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5">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5">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5">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5">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5">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5">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5">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5">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5">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5">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5">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5">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5">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5">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5">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5">
        <v>160000</v>
      </c>
      <c r="E323">
        <v>0</v>
      </c>
      <c r="F323" t="s">
        <v>31</v>
      </c>
      <c r="G323" t="s">
        <v>28</v>
      </c>
      <c r="H323" t="s">
        <v>18</v>
      </c>
      <c r="I323">
        <v>3</v>
      </c>
      <c r="J323" t="s">
        <v>16</v>
      </c>
      <c r="K323" t="s">
        <v>24</v>
      </c>
      <c r="L323">
        <v>47</v>
      </c>
      <c r="M323" t="str">
        <f t="shared" ref="M323:M386" si="5">IF(L323&gt;54, "Old", IF(L323&gt;=31,"Middle Age", IF(L323&lt;31,"Adolescent", "Invalid")))</f>
        <v>Middle Age</v>
      </c>
      <c r="N323" t="s">
        <v>15</v>
      </c>
    </row>
    <row r="324" spans="1:14" x14ac:dyDescent="0.25">
      <c r="A324">
        <v>16410</v>
      </c>
      <c r="B324" t="s">
        <v>37</v>
      </c>
      <c r="C324" t="s">
        <v>39</v>
      </c>
      <c r="D324" s="5">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5">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5">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5">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5">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5">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5">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5">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5">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5">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5">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5">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5">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5">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5">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5">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5">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5">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5">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5">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5">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5">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5">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5">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5">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5">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5">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5">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5">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5">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5">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5">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5">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5">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5">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5">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5">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5">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5">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5">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5">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5">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5">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5">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5">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5">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5">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5">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5">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5">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5">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5">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5">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5">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5">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5">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5">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5">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5">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5">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5">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5">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5">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5">
        <v>30000</v>
      </c>
      <c r="E387">
        <v>3</v>
      </c>
      <c r="F387" t="s">
        <v>19</v>
      </c>
      <c r="G387" t="s">
        <v>20</v>
      </c>
      <c r="H387" t="s">
        <v>15</v>
      </c>
      <c r="I387">
        <v>0</v>
      </c>
      <c r="J387" t="s">
        <v>16</v>
      </c>
      <c r="K387" t="s">
        <v>17</v>
      </c>
      <c r="L387">
        <v>43</v>
      </c>
      <c r="M387" t="str">
        <f t="shared" ref="M387:M450" si="6">IF(L387&gt;54, "Old", IF(L387&gt;=31,"Middle Age", IF(L387&lt;31,"Adolescent", "Invalid")))</f>
        <v>Middle Age</v>
      </c>
      <c r="N387" t="s">
        <v>18</v>
      </c>
    </row>
    <row r="388" spans="1:14" x14ac:dyDescent="0.25">
      <c r="A388">
        <v>28957</v>
      </c>
      <c r="B388" t="s">
        <v>37</v>
      </c>
      <c r="C388" t="s">
        <v>39</v>
      </c>
      <c r="D388" s="5">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5">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5">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5">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5">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5">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5">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5">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5">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5">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5">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5">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5">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5">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5">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5">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5">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5">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5">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5">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5">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5">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5">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5">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5">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5">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5">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5">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5">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5">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5">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5">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5">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5">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5">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5">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5">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5">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5">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5">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5">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5">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5">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5">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5">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5">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5">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5">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5">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5">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5">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5">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5">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5">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5">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5">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5">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5">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5">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5">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5">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5">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5">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5">
        <v>40000</v>
      </c>
      <c r="E451">
        <v>1</v>
      </c>
      <c r="F451" t="s">
        <v>13</v>
      </c>
      <c r="G451" t="s">
        <v>14</v>
      </c>
      <c r="H451" t="s">
        <v>15</v>
      </c>
      <c r="I451">
        <v>0</v>
      </c>
      <c r="J451" t="s">
        <v>16</v>
      </c>
      <c r="K451" t="s">
        <v>17</v>
      </c>
      <c r="L451">
        <v>42</v>
      </c>
      <c r="M451" t="str">
        <f t="shared" ref="M451:M514" si="7">IF(L451&gt;54, "Old", IF(L451&gt;=31,"Middle Age", IF(L451&lt;31,"Adolescent", "Invalid")))</f>
        <v>Middle Age</v>
      </c>
      <c r="N451" t="s">
        <v>18</v>
      </c>
    </row>
    <row r="452" spans="1:14" x14ac:dyDescent="0.25">
      <c r="A452">
        <v>16559</v>
      </c>
      <c r="B452" t="s">
        <v>37</v>
      </c>
      <c r="C452" t="s">
        <v>39</v>
      </c>
      <c r="D452" s="5">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5">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5">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5">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5">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5">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5">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5">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5">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5">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5">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5">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5">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5">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5">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5">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5">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5">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5">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5">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5">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5">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5">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5">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5">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5">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5">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5">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5">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5">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5">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5">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5">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5">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5">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5">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5">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5">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5">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5">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5">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5">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5">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5">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5">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5">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5">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5">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5">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5">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5">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5">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5">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5">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5">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5">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5">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5">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5">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5">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5">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5">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5">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5">
        <v>60000</v>
      </c>
      <c r="E515">
        <v>4</v>
      </c>
      <c r="F515" t="s">
        <v>31</v>
      </c>
      <c r="G515" t="s">
        <v>28</v>
      </c>
      <c r="H515" t="s">
        <v>15</v>
      </c>
      <c r="I515">
        <v>2</v>
      </c>
      <c r="J515" t="s">
        <v>46</v>
      </c>
      <c r="K515" t="s">
        <v>32</v>
      </c>
      <c r="L515">
        <v>61</v>
      </c>
      <c r="M515" t="str">
        <f t="shared" ref="M515:M578" si="8">IF(L515&gt;54, "Old", IF(L515&gt;=31,"Middle Age", IF(L515&lt;31,"Adolescent", "Invalid")))</f>
        <v>Old</v>
      </c>
      <c r="N515" t="s">
        <v>15</v>
      </c>
    </row>
    <row r="516" spans="1:14" x14ac:dyDescent="0.25">
      <c r="A516">
        <v>19399</v>
      </c>
      <c r="B516" t="s">
        <v>37</v>
      </c>
      <c r="C516" t="s">
        <v>38</v>
      </c>
      <c r="D516" s="5">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5">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5">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5">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5">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5">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5">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5">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5">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5">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5">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5">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5">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5">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5">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5">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5">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5">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5">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5">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5">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5">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5">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5">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5">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5">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5">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5">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5">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5">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5">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5">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5">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5">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5">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5">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5">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5">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5">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5">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5">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5">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5">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5">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5">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5">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5">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5">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5">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5">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5">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5">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5">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5">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5">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5">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5">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5">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5">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5">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5">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5">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5">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5">
        <v>120000</v>
      </c>
      <c r="E579">
        <v>1</v>
      </c>
      <c r="F579" t="s">
        <v>13</v>
      </c>
      <c r="G579" t="s">
        <v>28</v>
      </c>
      <c r="H579" t="s">
        <v>15</v>
      </c>
      <c r="I579">
        <v>4</v>
      </c>
      <c r="J579" t="s">
        <v>16</v>
      </c>
      <c r="K579" t="s">
        <v>32</v>
      </c>
      <c r="L579">
        <v>38</v>
      </c>
      <c r="M579" t="str">
        <f t="shared" ref="M579:M642" si="9">IF(L579&gt;54, "Old", IF(L579&gt;=31,"Middle Age", IF(L579&lt;31,"Adolescent", "Invalid")))</f>
        <v>Middle Age</v>
      </c>
      <c r="N579" t="s">
        <v>18</v>
      </c>
    </row>
    <row r="580" spans="1:14" x14ac:dyDescent="0.25">
      <c r="A580">
        <v>15313</v>
      </c>
      <c r="B580" t="s">
        <v>36</v>
      </c>
      <c r="C580" t="s">
        <v>38</v>
      </c>
      <c r="D580" s="5">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5">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5">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5">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5">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5">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5">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5">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5">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5">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5">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5">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5">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5">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5">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5">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5">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5">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5">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5">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5">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5">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5">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5">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5">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5">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5">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5">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5">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5">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5">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5">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5">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5">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5">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5">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5">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5">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5">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5">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5">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5">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5">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5">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5">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5">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5">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5">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5">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5">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5">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5">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5">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5">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5">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5">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5">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5">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5">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5">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5">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5">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5">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5">
        <v>50000</v>
      </c>
      <c r="E643">
        <v>4</v>
      </c>
      <c r="F643" t="s">
        <v>13</v>
      </c>
      <c r="G643" t="s">
        <v>28</v>
      </c>
      <c r="H643" t="s">
        <v>15</v>
      </c>
      <c r="I643">
        <v>2</v>
      </c>
      <c r="J643" t="s">
        <v>46</v>
      </c>
      <c r="K643" t="s">
        <v>32</v>
      </c>
      <c r="L643">
        <v>64</v>
      </c>
      <c r="M643" t="str">
        <f t="shared" ref="M643:M706" si="10">IF(L643&gt;54, "Old", IF(L643&gt;=31,"Middle Age", IF(L643&lt;31,"Adolescent", "Invalid")))</f>
        <v>Old</v>
      </c>
      <c r="N643" t="s">
        <v>18</v>
      </c>
    </row>
    <row r="644" spans="1:14" x14ac:dyDescent="0.25">
      <c r="A644">
        <v>21741</v>
      </c>
      <c r="B644" t="s">
        <v>36</v>
      </c>
      <c r="C644" t="s">
        <v>39</v>
      </c>
      <c r="D644" s="5">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5">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5">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5">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5">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5">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5">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5">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5">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5">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5">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5">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5">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5">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5">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5">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5">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5">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5">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5">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5">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5">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5">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5">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5">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5">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5">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5">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5">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5">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5">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5">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5">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5">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5">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5">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5">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5">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5">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5">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5">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5">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5">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5">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5">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5">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5">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5">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5">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5">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5">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5">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5">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5">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5">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5">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5">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5">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5">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5">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5">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5">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5">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5">
        <v>70000</v>
      </c>
      <c r="E707">
        <v>4</v>
      </c>
      <c r="F707" t="s">
        <v>13</v>
      </c>
      <c r="G707" t="s">
        <v>28</v>
      </c>
      <c r="H707" t="s">
        <v>15</v>
      </c>
      <c r="I707">
        <v>1</v>
      </c>
      <c r="J707" t="s">
        <v>46</v>
      </c>
      <c r="K707" t="s">
        <v>32</v>
      </c>
      <c r="L707">
        <v>59</v>
      </c>
      <c r="M707" t="str">
        <f t="shared" ref="M707:M770" si="11">IF(L707&gt;54, "Old", IF(L707&gt;=31,"Middle Age", IF(L707&lt;31,"Adolescent", "Invalid")))</f>
        <v>Old</v>
      </c>
      <c r="N707" t="s">
        <v>18</v>
      </c>
    </row>
    <row r="708" spans="1:14" x14ac:dyDescent="0.25">
      <c r="A708">
        <v>20296</v>
      </c>
      <c r="B708" t="s">
        <v>37</v>
      </c>
      <c r="C708" t="s">
        <v>39</v>
      </c>
      <c r="D708" s="5">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5">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5">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5">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5">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5">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5">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5">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5">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5">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5">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5">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5">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5">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5">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5">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5">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5">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5">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5">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5">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5">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5">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5">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5">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5">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5">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5">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5">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5">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5">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5">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5">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5">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5">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5">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5">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5">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5">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5">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5">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5">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5">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5">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5">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5">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5">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5">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5">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5">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5">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5">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5">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5">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5">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5">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5">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5">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5">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5">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5">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5">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5">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5">
        <v>100000</v>
      </c>
      <c r="E771">
        <v>4</v>
      </c>
      <c r="F771" t="s">
        <v>13</v>
      </c>
      <c r="G771" t="s">
        <v>28</v>
      </c>
      <c r="H771" t="s">
        <v>15</v>
      </c>
      <c r="I771">
        <v>4</v>
      </c>
      <c r="J771" t="s">
        <v>16</v>
      </c>
      <c r="K771" t="s">
        <v>32</v>
      </c>
      <c r="L771">
        <v>40</v>
      </c>
      <c r="M771" t="str">
        <f t="shared" ref="M771:M834" si="12">IF(L771&gt;54, "Old", IF(L771&gt;=31,"Middle Age", IF(L771&lt;31,"Adolescent", "Invalid")))</f>
        <v>Middle Age</v>
      </c>
      <c r="N771" t="s">
        <v>18</v>
      </c>
    </row>
    <row r="772" spans="1:14" x14ac:dyDescent="0.25">
      <c r="A772">
        <v>17699</v>
      </c>
      <c r="B772" t="s">
        <v>36</v>
      </c>
      <c r="C772" t="s">
        <v>38</v>
      </c>
      <c r="D772" s="5">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5">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5">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5">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5">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5">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5">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5">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5">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5">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5">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5">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5">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5">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5">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5">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5">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5">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5">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5">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5">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5">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5">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5">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5">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5">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5">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5">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5">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5">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5">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5">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5">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5">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5">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5">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5">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5">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5">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5">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5">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5">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5">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5">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5">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5">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5">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5">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5">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5">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5">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5">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5">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5">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5">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5">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5">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5">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5">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5">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5">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5">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5">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5">
        <v>70000</v>
      </c>
      <c r="E835">
        <v>0</v>
      </c>
      <c r="F835" t="s">
        <v>13</v>
      </c>
      <c r="G835" t="s">
        <v>21</v>
      </c>
      <c r="H835" t="s">
        <v>18</v>
      </c>
      <c r="I835">
        <v>1</v>
      </c>
      <c r="J835" t="s">
        <v>16</v>
      </c>
      <c r="K835" t="s">
        <v>32</v>
      </c>
      <c r="L835">
        <v>37</v>
      </c>
      <c r="M835" t="str">
        <f t="shared" ref="M835:M898" si="13">IF(L835&gt;54, "Old", IF(L835&gt;=31,"Middle Age", IF(L835&lt;31,"Adolescent", "Invalid")))</f>
        <v>Middle Age</v>
      </c>
      <c r="N835" t="s">
        <v>15</v>
      </c>
    </row>
    <row r="836" spans="1:14" x14ac:dyDescent="0.25">
      <c r="A836">
        <v>19889</v>
      </c>
      <c r="B836" t="s">
        <v>37</v>
      </c>
      <c r="C836" t="s">
        <v>39</v>
      </c>
      <c r="D836" s="5">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5">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5">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5">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5">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5">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5">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5">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5">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5">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5">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5">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5">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5">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5">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5">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5">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5">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5">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5">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5">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5">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5">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5">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5">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5">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5">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5">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5">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5">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5">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5">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5">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5">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5">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5">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5">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5">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5">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5">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5">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5">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5">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5">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5">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5">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5">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5">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5">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5">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5">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5">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5">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5">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5">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5">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5">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5">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5">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5">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5">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5">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5">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5">
        <v>30000</v>
      </c>
      <c r="E899">
        <v>0</v>
      </c>
      <c r="F899" t="s">
        <v>29</v>
      </c>
      <c r="G899" t="s">
        <v>20</v>
      </c>
      <c r="H899" t="s">
        <v>18</v>
      </c>
      <c r="I899">
        <v>2</v>
      </c>
      <c r="J899" t="s">
        <v>16</v>
      </c>
      <c r="K899" t="s">
        <v>32</v>
      </c>
      <c r="L899">
        <v>28</v>
      </c>
      <c r="M899" t="str">
        <f t="shared" ref="M899:M962" si="14">IF(L899&gt;54, "Old", IF(L899&gt;=31,"Middle Age", IF(L899&lt;31,"Adolescent", "Invalid")))</f>
        <v>Adolescent</v>
      </c>
      <c r="N899" t="s">
        <v>18</v>
      </c>
    </row>
    <row r="900" spans="1:14" x14ac:dyDescent="0.25">
      <c r="A900">
        <v>18066</v>
      </c>
      <c r="B900" t="s">
        <v>37</v>
      </c>
      <c r="C900" t="s">
        <v>38</v>
      </c>
      <c r="D900" s="5">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5">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5">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5">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5">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5">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5">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5">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5">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5">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5">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5">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5">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5">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5">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5">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5">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5">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5">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5">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5">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5">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5">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5">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5">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5">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5">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5">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5">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5">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5">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5">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5">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5">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5">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5">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5">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5">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5">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5">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5">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5">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5">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5">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5">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5">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5">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5">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5">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5">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5">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5">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5">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5">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5">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5">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5">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5">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5">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5">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5">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5">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5">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5">
        <v>120000</v>
      </c>
      <c r="E963">
        <v>2</v>
      </c>
      <c r="F963" t="s">
        <v>13</v>
      </c>
      <c r="G963" t="s">
        <v>28</v>
      </c>
      <c r="H963" t="s">
        <v>15</v>
      </c>
      <c r="I963">
        <v>3</v>
      </c>
      <c r="J963" t="s">
        <v>23</v>
      </c>
      <c r="K963" t="s">
        <v>32</v>
      </c>
      <c r="L963">
        <v>62</v>
      </c>
      <c r="M963" t="str">
        <f t="shared" ref="M963:M1001" si="15">IF(L963&gt;54, "Old", IF(L963&gt;=31,"Middle Age", IF(L963&lt;31,"Adolescent", "Invalid")))</f>
        <v>Old</v>
      </c>
      <c r="N963" t="s">
        <v>18</v>
      </c>
    </row>
    <row r="964" spans="1:14" x14ac:dyDescent="0.25">
      <c r="A964">
        <v>16813</v>
      </c>
      <c r="B964" t="s">
        <v>36</v>
      </c>
      <c r="C964" t="s">
        <v>38</v>
      </c>
      <c r="D964" s="5">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5">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5">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5">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5">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5">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5">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5">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5">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5">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5">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5">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5">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5">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5">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5">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5">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5">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5">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5">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5">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5">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5">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5">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5">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5">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5">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5">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5">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5">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5">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5">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5">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5">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5">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5">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5">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5">
        <v>60000</v>
      </c>
      <c r="E1001">
        <v>3</v>
      </c>
      <c r="F1001" t="s">
        <v>27</v>
      </c>
      <c r="G1001" t="s">
        <v>21</v>
      </c>
      <c r="H1001" t="s">
        <v>15</v>
      </c>
      <c r="I1001">
        <v>2</v>
      </c>
      <c r="J1001" t="s">
        <v>46</v>
      </c>
      <c r="K1001" t="s">
        <v>32</v>
      </c>
      <c r="L1001">
        <v>53</v>
      </c>
      <c r="M1001" t="str">
        <f t="shared" si="15"/>
        <v>Middle Age</v>
      </c>
      <c r="N1001" t="s">
        <v>15</v>
      </c>
    </row>
  </sheetData>
  <autoFilter ref="A1:N1001" xr:uid="{0E27859E-524F-4AF7-A5EC-4D43D77F39C8}"/>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05BD-9292-4587-A21F-C2417DE96297}">
  <dimension ref="B3:E49"/>
  <sheetViews>
    <sheetView workbookViewId="0">
      <selection activeCell="S51" sqref="S51"/>
    </sheetView>
  </sheetViews>
  <sheetFormatPr defaultRowHeight="15" x14ac:dyDescent="0.25"/>
  <cols>
    <col min="2" max="2" width="17.85546875" bestFit="1" customWidth="1"/>
    <col min="3" max="3" width="16.28515625" bestFit="1" customWidth="1"/>
    <col min="4" max="4" width="8" bestFit="1" customWidth="1"/>
    <col min="5" max="5" width="11.28515625" bestFit="1" customWidth="1"/>
  </cols>
  <sheetData>
    <row r="3" spans="2:5" x14ac:dyDescent="0.25">
      <c r="B3" s="7" t="s">
        <v>43</v>
      </c>
      <c r="C3" s="7" t="s">
        <v>44</v>
      </c>
    </row>
    <row r="4" spans="2:5" x14ac:dyDescent="0.25">
      <c r="B4" s="7" t="s">
        <v>41</v>
      </c>
      <c r="C4" t="s">
        <v>18</v>
      </c>
      <c r="D4" t="s">
        <v>15</v>
      </c>
      <c r="E4" t="s">
        <v>42</v>
      </c>
    </row>
    <row r="5" spans="2:5" x14ac:dyDescent="0.25">
      <c r="B5" s="8" t="s">
        <v>39</v>
      </c>
      <c r="C5" s="9">
        <v>53440</v>
      </c>
      <c r="D5" s="9">
        <v>55774.058577405856</v>
      </c>
      <c r="E5" s="9">
        <v>54580.777096114522</v>
      </c>
    </row>
    <row r="6" spans="2:5" x14ac:dyDescent="0.25">
      <c r="B6" s="8" t="s">
        <v>38</v>
      </c>
      <c r="C6" s="9">
        <v>56208.178438661707</v>
      </c>
      <c r="D6" s="9">
        <v>60123.966942148763</v>
      </c>
      <c r="E6" s="9">
        <v>58062.62230919765</v>
      </c>
    </row>
    <row r="7" spans="2:5" x14ac:dyDescent="0.25">
      <c r="B7" s="8" t="s">
        <v>42</v>
      </c>
      <c r="C7" s="9">
        <v>54874.759152215796</v>
      </c>
      <c r="D7" s="9">
        <v>57962.577962577961</v>
      </c>
      <c r="E7" s="9">
        <v>56360</v>
      </c>
    </row>
    <row r="24" spans="2:5" x14ac:dyDescent="0.25">
      <c r="B24" s="7" t="s">
        <v>45</v>
      </c>
      <c r="C24" s="7" t="s">
        <v>44</v>
      </c>
    </row>
    <row r="25" spans="2:5" x14ac:dyDescent="0.25">
      <c r="B25" s="7" t="s">
        <v>41</v>
      </c>
      <c r="C25" t="s">
        <v>18</v>
      </c>
      <c r="D25" t="s">
        <v>15</v>
      </c>
      <c r="E25" t="s">
        <v>42</v>
      </c>
    </row>
    <row r="26" spans="2:5" x14ac:dyDescent="0.25">
      <c r="B26" s="8" t="s">
        <v>16</v>
      </c>
      <c r="C26" s="6">
        <v>166</v>
      </c>
      <c r="D26" s="6">
        <v>200</v>
      </c>
      <c r="E26" s="6">
        <v>366</v>
      </c>
    </row>
    <row r="27" spans="2:5" x14ac:dyDescent="0.25">
      <c r="B27" s="8" t="s">
        <v>26</v>
      </c>
      <c r="C27" s="6">
        <v>92</v>
      </c>
      <c r="D27" s="6">
        <v>77</v>
      </c>
      <c r="E27" s="6">
        <v>169</v>
      </c>
    </row>
    <row r="28" spans="2:5" x14ac:dyDescent="0.25">
      <c r="B28" s="8" t="s">
        <v>22</v>
      </c>
      <c r="C28" s="6">
        <v>67</v>
      </c>
      <c r="D28" s="6">
        <v>95</v>
      </c>
      <c r="E28" s="6">
        <v>162</v>
      </c>
    </row>
    <row r="29" spans="2:5" x14ac:dyDescent="0.25">
      <c r="B29" s="8" t="s">
        <v>23</v>
      </c>
      <c r="C29" s="6">
        <v>116</v>
      </c>
      <c r="D29" s="6">
        <v>76</v>
      </c>
      <c r="E29" s="6">
        <v>192</v>
      </c>
    </row>
    <row r="30" spans="2:5" x14ac:dyDescent="0.25">
      <c r="B30" s="8" t="s">
        <v>46</v>
      </c>
      <c r="C30" s="6">
        <v>78</v>
      </c>
      <c r="D30" s="6">
        <v>33</v>
      </c>
      <c r="E30" s="6">
        <v>111</v>
      </c>
    </row>
    <row r="31" spans="2:5" x14ac:dyDescent="0.25">
      <c r="B31" s="8" t="s">
        <v>42</v>
      </c>
      <c r="C31" s="6">
        <v>519</v>
      </c>
      <c r="D31" s="6">
        <v>481</v>
      </c>
      <c r="E31" s="6">
        <v>1000</v>
      </c>
    </row>
    <row r="44" spans="2:5" x14ac:dyDescent="0.25">
      <c r="B44" s="7" t="s">
        <v>45</v>
      </c>
      <c r="C44" s="7" t="s">
        <v>44</v>
      </c>
    </row>
    <row r="45" spans="2:5" x14ac:dyDescent="0.25">
      <c r="B45" s="7" t="s">
        <v>41</v>
      </c>
      <c r="C45" t="s">
        <v>18</v>
      </c>
      <c r="D45" t="s">
        <v>15</v>
      </c>
      <c r="E45" t="s">
        <v>42</v>
      </c>
    </row>
    <row r="46" spans="2:5" x14ac:dyDescent="0.25">
      <c r="B46" s="8" t="s">
        <v>47</v>
      </c>
      <c r="C46" s="6">
        <v>71</v>
      </c>
      <c r="D46" s="6">
        <v>39</v>
      </c>
      <c r="E46" s="6">
        <v>110</v>
      </c>
    </row>
    <row r="47" spans="2:5" x14ac:dyDescent="0.25">
      <c r="B47" s="8" t="s">
        <v>48</v>
      </c>
      <c r="C47" s="6">
        <v>318</v>
      </c>
      <c r="D47" s="6">
        <v>383</v>
      </c>
      <c r="E47" s="6">
        <v>701</v>
      </c>
    </row>
    <row r="48" spans="2:5" x14ac:dyDescent="0.25">
      <c r="B48" s="8" t="s">
        <v>49</v>
      </c>
      <c r="C48" s="6">
        <v>130</v>
      </c>
      <c r="D48" s="6">
        <v>59</v>
      </c>
      <c r="E48" s="6">
        <v>189</v>
      </c>
    </row>
    <row r="49" spans="2:5" x14ac:dyDescent="0.25">
      <c r="B49" s="8" t="s">
        <v>42</v>
      </c>
      <c r="C49" s="6">
        <v>519</v>
      </c>
      <c r="D49" s="6">
        <v>481</v>
      </c>
      <c r="E49"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5B152-7E3B-4966-A61A-39D9876F6AEC}">
  <dimension ref="A1:T38"/>
  <sheetViews>
    <sheetView showGridLines="0" tabSelected="1" workbookViewId="0">
      <selection activeCell="V10" sqref="V10"/>
    </sheetView>
  </sheetViews>
  <sheetFormatPr defaultRowHeight="15" x14ac:dyDescent="0.25"/>
  <sheetData>
    <row r="1" spans="1:20" x14ac:dyDescent="0.25">
      <c r="A1" s="11" t="s">
        <v>50</v>
      </c>
      <c r="B1" s="11"/>
      <c r="C1" s="11"/>
      <c r="D1" s="11"/>
      <c r="E1" s="11"/>
      <c r="F1" s="11"/>
      <c r="G1" s="11"/>
      <c r="H1" s="11"/>
      <c r="I1" s="11"/>
      <c r="J1" s="11"/>
      <c r="K1" s="11"/>
      <c r="L1" s="11"/>
      <c r="M1" s="11"/>
      <c r="N1" s="11"/>
      <c r="O1" s="11"/>
      <c r="P1" s="11"/>
      <c r="Q1" s="11"/>
      <c r="R1" s="11"/>
      <c r="S1" s="11"/>
      <c r="T1" s="11"/>
    </row>
    <row r="2" spans="1:20" x14ac:dyDescent="0.25">
      <c r="A2" s="11"/>
      <c r="B2" s="11"/>
      <c r="C2" s="11"/>
      <c r="D2" s="11"/>
      <c r="E2" s="11"/>
      <c r="F2" s="11"/>
      <c r="G2" s="11"/>
      <c r="H2" s="11"/>
      <c r="I2" s="11"/>
      <c r="J2" s="11"/>
      <c r="K2" s="11"/>
      <c r="L2" s="11"/>
      <c r="M2" s="11"/>
      <c r="N2" s="11"/>
      <c r="O2" s="11"/>
      <c r="P2" s="11"/>
      <c r="Q2" s="11"/>
      <c r="R2" s="11"/>
      <c r="S2" s="11"/>
      <c r="T2" s="11"/>
    </row>
    <row r="3" spans="1:20" x14ac:dyDescent="0.25">
      <c r="A3" s="11"/>
      <c r="B3" s="11"/>
      <c r="C3" s="11"/>
      <c r="D3" s="11"/>
      <c r="E3" s="11"/>
      <c r="F3" s="11"/>
      <c r="G3" s="11"/>
      <c r="H3" s="11"/>
      <c r="I3" s="11"/>
      <c r="J3" s="11"/>
      <c r="K3" s="11"/>
      <c r="L3" s="11"/>
      <c r="M3" s="11"/>
      <c r="N3" s="11"/>
      <c r="O3" s="11"/>
      <c r="P3" s="11"/>
      <c r="Q3" s="11"/>
      <c r="R3" s="11"/>
      <c r="S3" s="11"/>
      <c r="T3" s="11"/>
    </row>
    <row r="4" spans="1:20" ht="15.75" customHeight="1" x14ac:dyDescent="0.25">
      <c r="A4" s="11"/>
      <c r="B4" s="11"/>
      <c r="C4" s="11"/>
      <c r="D4" s="11"/>
      <c r="E4" s="11"/>
      <c r="F4" s="11"/>
      <c r="G4" s="11"/>
      <c r="H4" s="11"/>
      <c r="I4" s="11"/>
      <c r="J4" s="11"/>
      <c r="K4" s="11"/>
      <c r="L4" s="11"/>
      <c r="M4" s="11"/>
      <c r="N4" s="11"/>
      <c r="O4" s="11"/>
      <c r="P4" s="11"/>
      <c r="Q4" s="11"/>
      <c r="R4" s="11"/>
      <c r="S4" s="11"/>
      <c r="T4" s="11"/>
    </row>
    <row r="5" spans="1:20" x14ac:dyDescent="0.25">
      <c r="A5" s="11"/>
      <c r="B5" s="11"/>
      <c r="C5" s="11"/>
      <c r="D5" s="11"/>
      <c r="E5" s="11"/>
      <c r="F5" s="11"/>
      <c r="G5" s="11"/>
      <c r="H5" s="11"/>
      <c r="I5" s="11"/>
      <c r="J5" s="11"/>
      <c r="K5" s="11"/>
      <c r="L5" s="11"/>
      <c r="M5" s="11"/>
      <c r="N5" s="11"/>
      <c r="O5" s="11"/>
      <c r="P5" s="11"/>
      <c r="Q5" s="11"/>
      <c r="R5" s="11"/>
      <c r="S5" s="11"/>
      <c r="T5" s="11"/>
    </row>
    <row r="6" spans="1:20" x14ac:dyDescent="0.25">
      <c r="A6" s="11"/>
      <c r="B6" s="11"/>
      <c r="C6" s="11"/>
      <c r="D6" s="11"/>
      <c r="E6" s="11"/>
      <c r="F6" s="11"/>
      <c r="G6" s="11"/>
      <c r="H6" s="11"/>
      <c r="I6" s="11"/>
      <c r="J6" s="11"/>
      <c r="K6" s="11"/>
      <c r="L6" s="11"/>
      <c r="M6" s="11"/>
      <c r="N6" s="11"/>
      <c r="O6" s="11"/>
      <c r="P6" s="11"/>
      <c r="Q6" s="11"/>
      <c r="R6" s="11"/>
      <c r="S6" s="11"/>
      <c r="T6" s="11"/>
    </row>
    <row r="7" spans="1:20" x14ac:dyDescent="0.25">
      <c r="A7" s="11"/>
      <c r="B7" s="11"/>
      <c r="C7" s="11"/>
      <c r="D7" s="11"/>
      <c r="E7" s="11"/>
      <c r="F7" s="11"/>
      <c r="G7" s="11"/>
      <c r="H7" s="11"/>
      <c r="I7" s="11"/>
      <c r="J7" s="11"/>
      <c r="K7" s="11"/>
      <c r="L7" s="11"/>
      <c r="M7" s="11"/>
      <c r="N7" s="11"/>
      <c r="O7" s="11"/>
      <c r="P7" s="11"/>
      <c r="Q7" s="11"/>
      <c r="R7" s="11"/>
      <c r="S7" s="11"/>
      <c r="T7" s="11"/>
    </row>
    <row r="8" spans="1:20" x14ac:dyDescent="0.25">
      <c r="A8" s="10"/>
    </row>
    <row r="9" spans="1:20" x14ac:dyDescent="0.25">
      <c r="A9" s="10"/>
    </row>
    <row r="10" spans="1:20" x14ac:dyDescent="0.25">
      <c r="A10" s="10"/>
    </row>
    <row r="11" spans="1:20" x14ac:dyDescent="0.25">
      <c r="A11" s="10"/>
    </row>
    <row r="12" spans="1:20" x14ac:dyDescent="0.25">
      <c r="A12" s="10"/>
    </row>
    <row r="13" spans="1:20" x14ac:dyDescent="0.25">
      <c r="A13" s="10"/>
    </row>
    <row r="14" spans="1:20" x14ac:dyDescent="0.25">
      <c r="A14" s="10"/>
    </row>
    <row r="15" spans="1:20" x14ac:dyDescent="0.25">
      <c r="A15" s="10"/>
    </row>
    <row r="16" spans="1:20" x14ac:dyDescent="0.25">
      <c r="A16" s="10"/>
    </row>
    <row r="17" spans="1:1" x14ac:dyDescent="0.25">
      <c r="A17" s="10"/>
    </row>
    <row r="18" spans="1:1" x14ac:dyDescent="0.25">
      <c r="A18" s="10"/>
    </row>
    <row r="19" spans="1:1" x14ac:dyDescent="0.25">
      <c r="A19" s="10"/>
    </row>
    <row r="20" spans="1:1" x14ac:dyDescent="0.25">
      <c r="A20" s="10"/>
    </row>
    <row r="21" spans="1:1" x14ac:dyDescent="0.25">
      <c r="A21" s="10"/>
    </row>
    <row r="22" spans="1:1" x14ac:dyDescent="0.25">
      <c r="A22" s="10"/>
    </row>
    <row r="23" spans="1:1" x14ac:dyDescent="0.25">
      <c r="A23" s="10"/>
    </row>
    <row r="24" spans="1:1" x14ac:dyDescent="0.25">
      <c r="A24" s="10"/>
    </row>
    <row r="25" spans="1:1" x14ac:dyDescent="0.25">
      <c r="A25" s="10"/>
    </row>
    <row r="26" spans="1:1" x14ac:dyDescent="0.25">
      <c r="A26" s="10"/>
    </row>
    <row r="27" spans="1:1" x14ac:dyDescent="0.25">
      <c r="A27" s="10"/>
    </row>
    <row r="28" spans="1:1" x14ac:dyDescent="0.25">
      <c r="A28" s="10"/>
    </row>
    <row r="29" spans="1:1" x14ac:dyDescent="0.25">
      <c r="A29" s="10"/>
    </row>
    <row r="30" spans="1:1" x14ac:dyDescent="0.25">
      <c r="A30" s="10"/>
    </row>
    <row r="31" spans="1:1" x14ac:dyDescent="0.25">
      <c r="A31" s="10"/>
    </row>
    <row r="32" spans="1:1" x14ac:dyDescent="0.25">
      <c r="A32" s="10"/>
    </row>
    <row r="33" spans="1:1" x14ac:dyDescent="0.25">
      <c r="A33" s="10"/>
    </row>
    <row r="34" spans="1:1" x14ac:dyDescent="0.25">
      <c r="A34" s="10"/>
    </row>
    <row r="35" spans="1:1" x14ac:dyDescent="0.25">
      <c r="A35" s="10"/>
    </row>
    <row r="36" spans="1:1" x14ac:dyDescent="0.25">
      <c r="A36" s="10"/>
    </row>
    <row r="37" spans="1:1" x14ac:dyDescent="0.25">
      <c r="A37" s="10"/>
    </row>
    <row r="38" spans="1:1" x14ac:dyDescent="0.25">
      <c r="A38" s="10"/>
    </row>
  </sheetData>
  <mergeCells count="2">
    <mergeCell ref="A1:T7"/>
    <mergeCell ref="A8:A3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Claudiu Ionut</cp:lastModifiedBy>
  <dcterms:created xsi:type="dcterms:W3CDTF">2022-03-18T02:50:57Z</dcterms:created>
  <dcterms:modified xsi:type="dcterms:W3CDTF">2026-02-08T13:18:33Z</dcterms:modified>
</cp:coreProperties>
</file>